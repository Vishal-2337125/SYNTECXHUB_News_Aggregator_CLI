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Clickable_Headline</t>
        </is>
      </c>
    </row>
    <row r="2">
      <c r="A2" s="2">
        <f>HYPERLINK("https://www.bhaskar.com/g/local/rajasthan/jaipur/news/rajasthan-heat-seasonal-illness-cities-min-temp-double-digit-137151607.html", "राजस्थान में 10 शहरों का न्यूनतम तापमान डबल डिजिट में:हल्की गर्मी ने बढ़ाई मौसमी बीमारियां; दिन का पारा 32.6 डिग्री सेल्सियस पहुंचा0:46")</f>
        <v/>
      </c>
    </row>
    <row r="3">
      <c r="A3" s="2">
        <f>HYPERLINK("https://www.bhaskar.com/local/rajasthan/jaipur/news/rajasthan-fake-fmge-doctor-gang-exposed-137149152.html", "SOG ने फेक FMGE सर्टिफिकेट मामले में बढ़ाया दायरा:20 और संदिग्ध डॉक्टर्स की बनाई लिस्ट, दो नेटवर्क से सक्रिय मिली गैंग0:30")</f>
        <v/>
      </c>
    </row>
    <row r="4">
      <c r="A4" s="2">
        <f>HYPERLINK("https://www.bhaskar.com/local/rajasthan/kota/news/kota-building-collapse-uttar-pradesh-accident-photos-137151628.html", "कोटा में रेस्टोरेंट की बिल्डिंग गिरी, देखिए 10 PHOTOS:मलबे में दबे लोग चीख रहे थे- हमें बचा लो; युवक के दोनों पैर कटे0:48")</f>
        <v/>
      </c>
    </row>
    <row r="5">
      <c r="A5" s="2">
        <f>HYPERLINK("https://www.bhaskar.com/local/rajasthan/news/rajasthan-cyber-fraud-mastermind-pakistan-girlfriend-137151658.html", "पाकिस्तानी प्रेमिका के इशारे पर 10वीं पास ने करोड़ों ठगे:लाहौर में बैठे मास्टरमाइंड से करता था चैट, धर्म बदलकर बॉर्डर क्रॉस करने वाला था1:29")</f>
        <v/>
      </c>
    </row>
    <row r="6">
      <c r="A6" s="2">
        <f>HYPERLINK("https://www.bhaskar.com/g/local/rajasthan/alwar/news/alwar-tiger-marathon-cm-sharma-deputy-cm-dixit-ranvir-hooda-dollar-prize-137148394.html", "LIVEटाइगर मैराथन को CM ने दिखाई झंडी,हेलीकॉप्टर से बरसे फूल:वन मंत्री का डांस; दिया कुमारी बोली-सरकार की मंशा इस थीम को आगे बढ़ाने की ;रणदीप हुड्‌डा बोले-झंडा गाड़ना है और तीतर पाढ़ना है1:02")</f>
        <v/>
      </c>
    </row>
    <row r="7">
      <c r="A7" s="2">
        <f>HYPERLINK("https://www.bhaskar.com/local/rajasthan/kota/news/kota-building-collapse-student-death-11-injured-137149141.html", "कोटा में 3-मंजिला बिल्डिंग गिरी, स्टूडेंट समेत 2 की मौत:13 घायल, मलबे में दबे दिखे हाथ-पैर; घायल बोले- खाना खाते समय इमारत ढही1:53")</f>
        <v/>
      </c>
    </row>
    <row r="8">
      <c r="A8" s="2">
        <f>HYPERLINK("https://www.bhaskar.com/local/rajasthan/news/rajasthan-politics-phool-singh-divyani-katara-video-baat-khari-hai-137151684.html", "बात खरी हैसतीश पूनिया के 'पद ग्रहण' का किस्सा:MLA ने पूछा- कौन सी पार्टी से हो?; खेजड़ी के लिए बदल दिया 'डिजाइन'1:59")</f>
        <v/>
      </c>
    </row>
    <row r="9">
      <c r="A9" s="2">
        <f>HYPERLINK("https://www.bhaskar.com/local/rajasthan/news/rajasthan-top-news-headlines-behror-leopard-attack-137147368.html", "राजस्थान दिनभर, 10 बड़ी खबरें:कुल्हाड़ी से लेपर्ड का सिर फाड़ा; प्रिंसिपल बोले- कुत्ते की मौत मरेगी; LPG गैस सिलेंडर से भरी पिकअप पलटी1:56")</f>
        <v/>
      </c>
    </row>
    <row r="10">
      <c r="A10" s="2">
        <f>HYPERLINK("https://www.bhaskar.com/local/rajasthan/kota/news/rajasthan-kota-kota-letest-news-kota-news-kota-breaking-news-kota-taja-khabr-137148420.html", "कोटा में 3 मंजिला बिल्डिंग गिरी, कोचिंग स्टूडेंट की मौत:10 घायल, किसी का हाथ तो किसी का पैर दिख रहा था; लोग बोले-जोरदार धमाका हुआ1:46")</f>
        <v/>
      </c>
    </row>
    <row r="11">
      <c r="A11" s="2">
        <f>HYPERLINK("https://www.bhaskar.com/local/rajasthan/udaipur/news/udaipur-world-music-festival-nsui-protest-turkey-artists-137145532.html", "उदयपुर में तुर्किये सिंगर का शो 30 मिनट पहले रद्द:NSUI कार्यकर्ताओं ने किया प्रदर्शन, बोले-ऑपरेशन सिंदूर में तुर्किये ने पाकिस्तान का साथ दिया था0:47")</f>
        <v/>
      </c>
    </row>
    <row r="12">
      <c r="A12" s="2">
        <f>HYPERLINK("https://www.bhaskar.com/local/rajasthan/sawai-madhopur/news/ranthambore-mobile-ban-fir-fine-supremecourt-order-137143493.html", "सफारी में मोबाइल ले जाने पर FIR होगी:राजस्थान में टाइगर की फोटो-वीडियो बनाने पर रोक, जानें- क्या ले जा सकते हैं, क्या नहीं1:06")</f>
        <v/>
      </c>
    </row>
    <row r="13">
      <c r="A13" s="2">
        <f>HYPERLINK("https://www.bhaskar.com/g/local/rajasthan/sikar/news/rajasthan-rohit-godara-gang-extortion-case-ajmer-jail-businessman-137145395.html", "गैंगस्टर के पास कैसे पहुंचते हैं नेताओं-बिजनेसमैन के मोबाइल नंबर:राजस्थान की सबसे बड़ी हाई सिक्योरिटी जेल से चल रहा खेल; ठेहट मर्डर के शूटर्स भी शामिल1:40")</f>
        <v/>
      </c>
    </row>
    <row r="14">
      <c r="A14" s="2">
        <f>HYPERLINK("https://www.bhaskar.com/local/rajasthan/jaisalmer/news/rajasthan-hospital-dog-free-mission-nodal-officer-doctor-jodhpur-jaisalmer-137147145.html", "राजस्थान में अब डॉक्टर कुत्ते भी भगाएंगे:जोधपुर और जैसलमेर में हॉस्पिटल में बनाया नोडल ऑफिसर, अधिकारी बोले-एंट्री नहीं होनी चाहिए0:58")</f>
        <v/>
      </c>
    </row>
    <row r="15">
      <c r="A15" s="2">
        <f>HYPERLINK("https://www.bhaskar.com/local/rajasthan/sawai-madhopur/news/kuno-national-park-ranthambore-tiger-cheetah-threat-137144371.html", "रणथंभौर का टाइगर पहुंचा कूनो नेशनल पार्क:एमपी में पर्यटकों को दिखा टाइगर, चीतों के लिए खतरा0:39")</f>
        <v/>
      </c>
    </row>
    <row r="16">
      <c r="A16" s="2">
        <f>HYPERLINK("https://www.bhaskar.com/local/rajasthan/sawai-madhopur/news/rajasthan-murder-case-kodyai-village-neighbor-arrested-137146280.html", "पड़ोसी ने महिला के साथ बीड़ी पी, फिर मार डाला:कर्ज चुकाने के लिए सोने-चांदी के गहने लूटे; 10 दिन पहले खेत में छुपाई थी कुल्हाड़ी0:51")</f>
        <v/>
      </c>
    </row>
    <row r="17">
      <c r="A17" s="2">
        <f>HYPERLINK("https://www.bhaskar.com/g/local/rajasthan/jaipur/news/expenditure-increased-133-times-in-one-year-forcing-the-government-to-take-an-advance-of-rs-91251-crore-from-the-reserve-bank-137151588.html", "कैग रिपोर्ट:एक साल में 133 बार खर्च बढ़ा, सरकार को रिजर्व बैंक से लेना पड़ा 91,251 करोड़ रुपए एडवांस लेने पड़े")</f>
        <v/>
      </c>
    </row>
    <row r="18">
      <c r="A18" s="2">
        <f>HYPERLINK("https://www.bhaskar.com/local/rajasthan/bharatpur/news/the-survey-of-india-said-137151594.html", "भारतीय सर्वेक्षण विभाग:जमीन की पैमाइश में अब इंच भर भी गलती की गुंजाइश नहीं रहेगी, प्रदेश के सभी 41 जिलों में लगेंगे 84 नए सैटेलाइट स्टेशन")</f>
        <v/>
      </c>
    </row>
    <row r="19">
      <c r="A19" s="2">
        <f>HYPERLINK("https://www.bhaskar.com/local/rajasthan/jaipur/news/more-than-52000-women-died-of-cancer-in-rajasthan-in-the-last-five-years-137151395.html", "चिकित्सा एवं स्वास्थ्य विभाग:राजस्थान में कैंसर से 5 साल में 52 हजार से ज्यादा महिलाओं की मौत")</f>
        <v/>
      </c>
    </row>
    <row r="20">
      <c r="A20" s="2">
        <f>HYPERLINK("https://www.bhaskar.com/local/rajasthan/jaipur/news/late-night-speeding-wreaks-havoc-on-jln-marg-vehicles-clocked-at-100-128-kmh-5-booked-137151399.html", "सड़कों पर ‘रफ्तार’ का खौफ:जेएलएन मार्ग पर देर रात रफ्तार का कहर, 100–128 किलोमीटर/घंटा की गति से दौड़ी गाड़ियां, 5 पर मुकदमे")</f>
        <v/>
      </c>
    </row>
    <row r="21">
      <c r="A21" s="2">
        <f>HYPERLINK("https://www.bhaskar.com/g/local/rajasthan/jaipur/news/the-art-of-royal-usta-the-art-of-camel-skins-has-evolved-from-walls-to-camel-skins-skins-are-now-rare-inflation-has-reduced-demand-and-only-10-12-artisans-survive-137151501.html", "आखिरी कारीगर:शाही उस्ता कला; दीवारों से ऊंट की खाल तक पहुंची; अब खाल दुर्लभ ही मिलती हैं, महंगाई से डिमांड कम हुई, 10-12 कारीगर ही जिंदा")</f>
        <v/>
      </c>
    </row>
    <row r="22">
      <c r="A22" s="2">
        <f>HYPERLINK("https://www.bhaskar.com/g/local/haryana/rewari/news/rajasthan-roadways-bus-hits-businessman-haryana-rewari-accident-137152289.html", "रेवाड़ी में रोडवेज बस ने मारी कपड़ा व्यापारी को टक्कर:दिल्ली से लौट रहा, ढाबे पर रोकी कार, राजस्थान का रहने वाला")</f>
        <v/>
      </c>
    </row>
    <row r="23">
      <c r="A23" s="2">
        <f>HYPERLINK("https://www.bhaskar.com/local/rajasthan/ajmer/news/mds-university-exam-rules-6-year-limit-no-backlog-papers-137152429.html", "सेमेस्टर 6 में बकाया पेपर लेने की अनुमति नहीं:MDS यूनिवर्सिटी प्रशासन ने जारी किए निर्देश, 6 साल से ज्यादा समय नहीं मिलेगा0:20")</f>
        <v/>
      </c>
    </row>
    <row r="24">
      <c r="A24" s="2">
        <f>HYPERLINK("https://www.bhaskar.com/local/rajasthan/bharatpur/news/rajasthan-dowry-harassment-suicide-bharatpur-137152425.html", "महिला का शव फांसी के फंदे से लटका हुआ मिला:ससुराल वाले दहेज़ के लिए कर रहे थे परेशान, 2 साल पहले हुई थी शादी")</f>
        <v/>
      </c>
    </row>
    <row r="25">
      <c r="A25" s="2">
        <f>HYPERLINK("https://www.bhaskar.com/local/rajasthan/barmer/news/jalore-police-wanted-15k-reward-ndps-accused-caught-barmer-137152418.html", "जालोर पुलिस का वांटेड बाड़मेर में पकड़ा:3 साल से फरार आरोपी 15 हजार का इनामी; एनडीपीएस का मामला है दर्ज0:19")</f>
        <v/>
      </c>
    </row>
    <row r="26">
      <c r="A26" s="2">
        <f>HYPERLINK("https://www.bhaskar.com/local/rajasthan/chittorgarh/news/chittorgarh-weather-update-feb-9-forecast-137152337.html", "चित्तौड़गढ़ में 24 घंटे में 3 डिग्री गिरा पारा:मौसम विभाग का अनुमान, 9 फरवरी से फिर बदलेगा मौसम, कोई अलर्ट जारी नहीं0:53")</f>
        <v/>
      </c>
    </row>
    <row r="27">
      <c r="A27" s="2">
        <f>HYPERLINK("https://www.bhaskar.com/local/rajasthan/bhilwara/news/rajasthan-youth-death-road-accident-bhilwara-137152315.html", "भीलवाड़ा में ट्रेलर-कार की भीषण टक्कर:जयपुर के युवक की मौत, ग्रामीणों ने कड़ी मशक्कत के बाद युवक को कार से बाहर निकाला0:27")</f>
        <v/>
      </c>
    </row>
    <row r="28">
      <c r="A28" s="2">
        <f>HYPERLINK("https://www.bhaskar.com/local/rajasthan/pali/news/hitesh-taylor-injured-in-a-road-accident-in-pali-dies-during-treatment-in-jodhpur-february-8-2026-137152260.html", "आखिर जिदंगी की जंग हारा गया हितेश:जोधपुर में वेंटिलेटर पर था, 10 दिन बाद दम तोड़ा; ट्रैक्टर से टकराई थी बाइक0:35")</f>
        <v/>
      </c>
    </row>
    <row r="29">
      <c r="A29" s="2">
        <f>HYPERLINK("https://www.bhaskar.com/g/local/rajasthan/jaipur/news/dainik-bhaskar-doctors-glory-awards-2026-honors-75-doctors-137152005.html", "चिकित्सा मंत्री बोले-आपकी पीढ़ियां बैंक बैलेंस नहीं, अवॉर्ड्स याद रखेंगी:डॉक्टर्स ग्लोरी अवॉर्ड से 76 डॉक्टर हुए सम्मानित, 20 से ज्यादा कैटेगरी में दिया सम्मान2:19")</f>
        <v/>
      </c>
    </row>
    <row r="30">
      <c r="A30" s="2">
        <f>HYPERLINK("https://www.bhaskar.com/local/rajasthan/tonk/news/tonk-temperature-rise-winter-effect-less-137152268.html", "टोंक में कम हुआ सर्दी का असर")</f>
        <v/>
      </c>
    </row>
    <row r="31">
      <c r="A31" s="2">
        <f>HYPERLINK("https://www.bhaskar.com/local/rajasthan/rajsamand/news/rajsamand-rvika-shrotriya-phd-ai-decision-support-137152167.html", "राजसमंद की रुचिका श्रोत्रिय को पीएचडी:'एआई-ड्रिवन डिसीजन सिस्टम' विषय पर किया शोध0:32")</f>
        <v/>
      </c>
    </row>
    <row r="32">
      <c r="A32" s="2">
        <f>HYPERLINK("https://www.bhaskar.com/local/rajasthan/sawai-madhopur/news/sawai-madhopur-temperature-rise-summer-feeling-137152049.html", "सवाई माधोपुर में दिन में बढ़ी गर्मी, रात में गलन")</f>
        <v/>
      </c>
    </row>
    <row r="33">
      <c r="A33" s="2">
        <f>HYPERLINK("https://www.bhaskar.com/local/rajasthan/pali/news/tragic-death-of-young-man-in-road-accident-in-pali-february-8-2026-137152042.html", "हाईवे पर पैदल युवक को कुचला, मौत:पेट के ऊपर से निकला टायर, आंते-लीवर तक बाहर आ गए0:33")</f>
        <v/>
      </c>
    </row>
    <row r="34">
      <c r="A34" s="2">
        <f>HYPERLINK("https://www.bhaskar.com/local/rajasthan/barmer/news/balotra-opium-seized-pachpadra-police-arrest-suppliers-137152041.html", "घरों पर दबिश देकर मादक पदार्थ जब्त, दो सप्लायर गिरफ्तार:बाड़े में छुपाई अफीम पकड़ी, 4.320 किलो डोडा-पोस्त बरामद0:23")</f>
        <v/>
      </c>
    </row>
    <row r="35">
      <c r="A35" s="2">
        <f>HYPERLINK("https://www.bhaskar.com/local/rajasthan/kotputli/news/udh-minister-kharra-kotputli-feedback-issues-assurance-137152082.html", "यूडीएच मंत्री खर्रा कोटपूतली में, कार्यकर्ताओं से मिले:शहर की समस्याओं पर लिया फीडबैक, निराकरण का दिया आश्वासन0:58")</f>
        <v/>
      </c>
    </row>
    <row r="36">
      <c r="A36" s="2">
        <f>HYPERLINK("https://www.bhaskar.com/local/rajasthan/ajmer/news/ajmer-power-cut-schedule-today-9am-330pm-137151841.html", "30 से ज्यादा इलाकों में आज 4 घंटे बिजली बंद:जानिए कब से कब तक नहीं आएगी लाइट, कौन-कौन से एरिया प्रभावित होंगे0:15")</f>
        <v/>
      </c>
    </row>
    <row r="37">
      <c r="A37" s="2">
        <f>HYPERLINK("https://www.bhaskar.com/local/rajasthan/ajmer/news/ajmer-railway-station-opium-dodachura-arrest-137151936.html", "अजमेर रेलवे स्टेशन पर लाखों का अफीम-डोडा पोस्त पकड़ा:जोधपुर का युवक गिरफ्तार,MP से खरीदकर लाया था; अब चित्तौड़गढ़ सीआई करेंगे जांच0:18")</f>
        <v/>
      </c>
    </row>
    <row r="38">
      <c r="A38" s="2">
        <f>HYPERLINK("https://www.bhaskar.com/local/rajasthan/tonk/news/tonk-uni-ayurveda-college-pre-unani-day-events-powerpoint-sports-137151922.html", "यूनानी मेडिकल कॉलेज में प्री-यूनानी डे की शुरुआत:पावरपॉइंट प्रतियोगिता में दिखा छात्रों का हुनर, बैडमिंटन व स्पून-लेमन रेस में दिखा उत्साह0:22")</f>
        <v/>
      </c>
    </row>
    <row r="39">
      <c r="A39" s="2">
        <f>HYPERLINK("https://www.bhaskar.com/local/rajasthan/jalore/news/veeramdev-statue-airlift-tungali-hill-inauguration-invitation-137151834.html", "2 साल में बनी 3 टन वजनी वीरमदेव की मूर्ति:सेना करेगी एयरलिफ्ट, स्थापना से पहले प्रतिकात्मक मूर्ति की प्राण-प्रतिष्ठा1:20")</f>
        <v/>
      </c>
    </row>
    <row r="40">
      <c r="A40" s="2">
        <f>HYPERLINK("https://www.bhaskar.com/local/rajasthan/udaipur/news/udaipur-world-music-festival-jonita-gandhi-sings-jhumka-gira-re-137151812.html", "उदयपुर में वर्ल्ड म्यूजिक फेस्टिवल:प्लेबैक सिंगर जोनिता गांधी के गानों पर झूमे लोग, झुमका गिरा रे बरेली के बाजार में... गीत पर युवाओं ने साथ दिया1:58")</f>
        <v/>
      </c>
    </row>
    <row r="41">
      <c r="A41" s="2">
        <f>HYPERLINK("https://www.bhaskar.com/local/rajasthan/sriganganagar/news/sriganganagar-congress-leader-cars-vandalized-shop-dispute-137151784.html", "श्रीगंगानगर में कांग्रेस नेता की 2 कारों में तोड़फोड़:दुकान के सौदे को लेकर विवाद, दोनों पक्षों ने लगाए आरोप0:34")</f>
        <v/>
      </c>
    </row>
    <row r="42">
      <c r="A42" s="2">
        <f>HYPERLINK("https://www.bhaskar.com/local/rajasthan/rajsamand/news/rajsamand-congress-aditya-pratap-singh-appointed-district-chief-137151754.html", "राजसमंद कांग्रेस को मिला नया जिला अध्यक्ष:आदित्य प्रताप सिंह को मिली जिम्मेदारी, के.सी. वेणुगोपाल ने जारी किया आदेश0:33")</f>
        <v/>
      </c>
    </row>
    <row r="43">
      <c r="A43" s="2">
        <f>HYPERLINK("https://www.bhaskar.com/g/local/rajasthan/sikar/news/shekhar-says-sikar-pressure-high-reduce-for-proper-development-137145204.html", "सीकर में स्टूडेंट्स के लिए खुलेगा फूड कोर्ट:रात में भी मिलेगा हेल्दी खाना, प्रभारी सचिव बोले- हर्ष पर्वत को टूरिज्म हब बनाया जाएगा1:18")</f>
        <v/>
      </c>
    </row>
    <row r="44">
      <c r="A44" s="2">
        <f>HYPERLINK("https://www.bhaskar.com/g/local/rajasthan/sikar/news/shekhar-national-treasurer-labor-code-threat-to-workers-137146754.html", "पूर्व सांसद बोले-मजदूरों के सुरक्षा-कानून खत्म करने की कोशिश:मजदूर वर्ग इसको किसी भी कीमत पर स्वीकार नहीं करेगा0:20")</f>
        <v/>
      </c>
    </row>
    <row r="45">
      <c r="A45" s="2">
        <f>HYPERLINK("https://www.bhaskar.com/local/rajasthan/tonk/news/tonk-badla-gram-tejaji-murti-pran-pratishtha-havan-dance-137145948.html", "हवन के साथ हुई तेजाजी की मूर्ति की स्थापना:लीलन घोड़ी गाने पर डांस किया, भक्तों ने बढ़ाया कलाकारों का उत्साह0:25")</f>
        <v/>
      </c>
    </row>
    <row r="46">
      <c r="A46" s="2">
        <f>HYPERLINK("https://www.bhaskar.com/local/rajasthan/tonk/news/tonk-bdo-threatened-organizer-police-case-filed-137146547.html", "टोंक महिला बीडीओ को दी जान से मारने की धमकी:आरोपी संस्था का कॉआर्डिनेटर, चेंबर में समझाने पर गुस्सा हुआ; मामला दर्ज2:14")</f>
        <v/>
      </c>
    </row>
    <row r="47">
      <c r="A47" s="2">
        <f>HYPERLINK("https://www.bhaskar.com/local/rajasthan/tonk/news/tonk-dst-action-drugs-seized-6-arrested-137148361.html", "डोडा-पोस्त और स्मैक के साथ एक महिला समेत 6 गिरफ्तार:2 बाइक, एक कार और कैश भी जब्त; टोंक में डीएसटी की कार्रवाई0:21")</f>
        <v/>
      </c>
    </row>
    <row r="48">
      <c r="A48" s="2">
        <f>HYPERLINK("https://www.bhaskar.com/local/rajasthan/ajmer/news/at-10-am-in-the-corporation-the-mayor39s-nameplate-was-removed-and-the-administrator39s-nameplate-was-installed-137149385.html", "निगम में सुबह 10 बजे ही महापौर की नेमप्लेट हटाकर प्रशासक की लगाई")</f>
        <v/>
      </c>
    </row>
    <row r="49">
      <c r="A49" s="2">
        <f>HYPERLINK("https://www.bhaskar.com/local/rajasthan/banswara/news/postmortem-report-reveals-young-man-stabbed-to-death-face-stabbed-10-times-to-erase-identity-137149820.html", "पोस्टमार्टम ​रिपोर्ट में खुलासा: युवक की चाकुओं से हत्या, पहचान मिटाने चेहरे पर 10 वार किए थे")</f>
        <v/>
      </c>
    </row>
    <row r="50">
      <c r="A50" s="2">
        <f>HYPERLINK("https://www.bhaskar.com/local/rajasthan/jodhpur/news/now-water-cuts-will-be-every-7-days-instead-of-10-with-the-first-shutdown-taking-place-on-the-10th-137149465.html", "अब 10 के बजाय हर 7 दिन में होगी पानी की कटौती, पहला शटडाउन 10 को लेंगे")</f>
        <v/>
      </c>
    </row>
    <row r="51">
      <c r="A51" s="2">
        <f>HYPERLINK("https://www.bhaskar.com/local/rajasthan/bikaner/news/rps-and-si-inspectors-who-have-been-in-districts-for-three-years-will-be-transferred-april-30-is-the-cut-off-date-137151290.html", "पंचायतीराज-नगर निकाय चुनाव:जिलों में 3 साल तक रहने वाले आरपीएस और एसआई-इंस्पेक्टर के ट्रांसफर होंगे, 30 अप्रैल ‘कट ऑफ डेट’")</f>
        <v/>
      </c>
    </row>
    <row r="52">
      <c r="A52" s="2">
        <f>HYPERLINK("https://www.bhaskar.com/local/rajasthan/bikaner/news/disposal-of-polluted-water-spread-in-karani-industrial-area-will-now-be-under-government-supervision-137151304.html", "पर्यावरणीय प्रदूषण का मामला:करणी औद्योगिक क्षेत्र में फैले प्रदूषित पानी का निस्तारण अब सरकारी निगरानी में होगा")</f>
        <v/>
      </c>
    </row>
    <row r="53">
      <c r="A53" s="2">
        <f>HYPERLINK("https://www.bhaskar.com/local/rajasthan/bikaner/news/the-layers-of-the-web-of-black-gypsum-tablets-like-dap-are-beginning-to-unravel-with-the-supply-network-from-the-seized-factory-now-under-scrutiny-137151301.html", "कृषि विभाग:डीएपी जैसी जिप्सम की काली गोलियों के जाल की परतें खुलनी शुरू, सीज फैक्ट्री से अब सप्लाई नेटवर्क पर नजर")</f>
        <v/>
      </c>
    </row>
    <row r="54">
      <c r="A54" s="2">
        <f>HYPERLINK("https://www.bhaskar.com/local/rajasthan/udaipur/news/courts-displeasure-over-the-working-style-of-uda-137151641.html", "यूडीए की कार्यशैली पर न्यायालय की नाराजगी:2 साल से नहीं माना कोर्ट का आदेश, अब कुर्क होगी यूडीए सचिव की कुर्सी")</f>
        <v/>
      </c>
    </row>
    <row r="55">
      <c r="A55" s="2">
        <f>HYPERLINK("https://www.bhaskar.com/local/rajasthan/udaipur/news/vice-chancellor-selection-3-names-for-the-search-committee-remain-undecided-even-after-two-months-threatening-recruitment-and-examinations-137151145.html", "कुलगुरु चयन:सर्च कमेटी के लिए दो माह बाद भी 3 नाम तय नहीं, भर्तियों व परीक्षाओं पर संकट")</f>
        <v/>
      </c>
    </row>
    <row r="56">
      <c r="A56" s="2">
        <f>HYPERLINK("https://www.bhaskar.com/local/rajasthan/udaipur/news/udaipur-airport-broke-the-record-137151630.html", "उदयपुर एयरपोर्ट ने तोड़ा रिकॉर्ड:साल 2024-25 में 16.50 लाख यात्री पहुंचे; 10 साल में कोरोना काल को छोड़ यात्री संख्या जबर्दस्त बढ़ी")</f>
        <v/>
      </c>
    </row>
    <row r="57">
      <c r="A57" s="2">
        <f>HYPERLINK("https://www.bhaskar.com/local/rajasthan/bikaner/news/51-environmentalists-sat-on-a-relay-hunger-strike-and-protested-against-the-felling-of-khejri-trees-in-phalodi-137151603.html", "खेजड़ी बचाओ आंदोलन:क्रमिक अनशन पर बैठे 51 पर्यावरण प्रेमी, फलौदी में खेजड़ी के पेड़ काटने की घटना पर भी विरोध जताया")</f>
        <v/>
      </c>
    </row>
    <row r="58">
      <c r="A58" s="2">
        <f>HYPERLINK("https://www.bhaskar.com/local/rajasthan/bundi/news/20-families-in-ramgarh-tiger-reserve-still-waiting-after-4-years-137151598.html", "अधूरा विस्थापन:रामगढ़ टाइगर रिजर्व में 20 परिवारों को 4 साल बाद भी इंतजार")</f>
        <v/>
      </c>
    </row>
    <row r="59">
      <c r="A59" s="2">
        <f>HYPERLINK("https://www.bhaskar.com/g/local/rajasthan/jaipur/news/pilot-project-from-5-pm-to-10-pm-today-137151535.html", "नया ट्रैफिक प्लान:आज शाम 5 से रात 10 बजे तक पायलट प्रोजेक्ट")</f>
        <v/>
      </c>
    </row>
    <row r="60">
      <c r="A60" s="2">
        <f>HYPERLINK("https://www.bhaskar.com/local/rajasthan/jaipur/news/cm-bhajanlal39s-convoy-stopped-at-a-red-light-and-he-moved-ahead-with-the-public-137151385.html", "सड़क सुरक्षा का संदेश:रेड लाइट पर रुका सीएम भजनलाल का काफिला, आमजन के साथ बढ़े आगे")</f>
        <v/>
      </c>
    </row>
    <row r="61">
      <c r="A61" s="2">
        <f>HYPERLINK("https://www.bhaskar.com/local/rajasthan/jaipur/news/142-dilapidated-schools-in-jaipur-5232-classrooms-unfit-for-children-137151382.html", "65 हजार स्कूलों के सर्वे में खुलासा:जयपुर में 142 जर्जर स्कूल, 5232 कक्ष बच्चों के बैठने लायक नहीं")</f>
        <v/>
      </c>
    </row>
    <row r="62">
      <c r="A62" s="2">
        <f>HYPERLINK("https://www.bhaskar.com/local/rajasthan/barmer/news/action-by-the-anti-narcotics-task-force-137151461.html", "एंटी नारकोटिक्स टास्क फोर्स की कार्रवाई:घर से भेजी हल्दी की सब्जी का झांसा देकर ट्रक में सो रहे तस्कर को पकड़ा")</f>
        <v/>
      </c>
    </row>
    <row r="63">
      <c r="A63" s="2">
        <f>HYPERLINK("https://www.bhaskar.com/local/rajasthan/barmer/news/electricity-theft-for-6-hours-on-17-feeders-of-barmer-and-37-feeders-of-jaisalmer-aen-suspended-137151244.html", "बिजली सप्लाई की चोरी का मामला:बाड़मेर के 17 व जैसलमेर के 37 फीडर पर 6 घंटे बिजली चोरी, AEN सस्पेंड")</f>
        <v/>
      </c>
    </row>
    <row r="64">
      <c r="A64" s="2">
        <f>HYPERLINK("https://www.bhaskar.com/local/rajasthan/bharatpur/news/marriage-will-be-prohibited-in-malmas-137151457.html", "मलमास में विवाह पर रहेगी रोक:इस साल 61 मुहूर्त, होलाष्टक,दिसंबर तक कुल 50 मुहूर्त तिथि के सावों वाले, जबकि 11 अबूझ रहेंगे")</f>
        <v/>
      </c>
    </row>
    <row r="65">
      <c r="A65" s="2">
        <f>HYPERLINK("https://www.bhaskar.com/local/rajasthan/bharatpur/news/theft-of-rs-20-lakhs-revealed-in-2-days-137151444.html", "20 लाख की चोरी का 2 दिन में खुलासा:जेवरों की पोटली गिरी तो खुले राज भीलवाड़ा भाग रहे थे चारों आरोपी")</f>
        <v/>
      </c>
    </row>
    <row r="66">
      <c r="A66" s="2">
        <f>HYPERLINK("https://www.bhaskar.com/local/rajasthan/bharatpur/nadbai/news/highway-construction-proposal-approved-137151437.html", "हाइवे निर्माण प्रस्ताव को मिली स्वीकृति:170 करोड़ रुपए लागत से बनेगा नवीन हाइवे; धौलपुर-जयपुर के बीच बचेगा एक घंटे का समय")</f>
        <v/>
      </c>
    </row>
    <row r="67">
      <c r="A67" s="2">
        <f>HYPERLINK("https://www.bhaskar.com/local/rajasthan/barmer/news/a-massive-hindu-convention-was-held-in-bishala-137151259.html", "बिशाला में विराट हिन्दू सम्मेलन सम्पन्न")</f>
        <v/>
      </c>
    </row>
    <row r="68">
      <c r="A68" s="2">
        <f>HYPERLINK("https://www.bhaskar.com/local/rajasthan/barmer/news/dps-scholarship-exam-today-137151246.html", "डीपीएस में स्कॉलरशिप के लिए परीक्षा आज")</f>
        <v/>
      </c>
    </row>
    <row r="69">
      <c r="A69" s="2">
        <f>HYPERLINK("https://www.bhaskar.com/local/rajasthan/barmer/news/one-district-one-sports-competition-from-tomorrow-137151261.html", "एक जिला एक खेल प्रतियोगिता कल से")</f>
        <v/>
      </c>
    </row>
    <row r="70">
      <c r="A70" s="2">
        <f>HYPERLINK("https://www.bhaskar.com/local/rajasthan/barmer/news/food-license-registration-camp-concluded-in-shiv-137151263.html", "शिव में खाद्य अनुज्ञापत्र रजिस्ट्रेशन शिविर संपन्न")</f>
        <v/>
      </c>
    </row>
    <row r="71">
      <c r="A71" s="2">
        <f>HYPERLINK("https://www.bhaskar.com/local/rajasthan/barmer/news/the-aim-of-the-sports-week-is-to-develop-discipline-and-team-spirit-among-the-cadets-adarsh-137151267.html", "स्पोर्ट्स वीक का उद्देश्य कैडेट्स में अनुशासन एवं टीम भावना का विकास करना हैं : आदर्श")</f>
        <v/>
      </c>
    </row>
    <row r="72">
      <c r="A72" s="2">
        <f>HYPERLINK("https://www.bhaskar.com/local/rajasthan/barmer/news/115-patients-treated-in-the-medical-camp-137151268.html", "चिकित्सा शिविर में 115 रोगियों का उपचार")</f>
        <v/>
      </c>
    </row>
    <row r="73">
      <c r="A73" s="2">
        <f>HYPERLINK("https://www.bhaskar.com/local/rajasthan/barmer/news/nsui-submitted-a-memorandum-under-the-khejri-bachao-movement-137151270.html", "एनएसयूआई ने खेजड़ी बचाओ आंदोलन के तहत सौंपा ज्ञापन")</f>
        <v/>
      </c>
    </row>
    <row r="74">
      <c r="A74" s="2">
        <f>HYPERLINK("https://www.bhaskar.com/local/rajasthan/barmer/news/district-level-training-organized-under-sansa-program-137151271.html", "सांस कार्यक्रम के तहत जिला स्तरीय प्रशिक्षण आयोजित")</f>
        <v/>
      </c>
    </row>
    <row r="75">
      <c r="A75" s="2">
        <f>HYPERLINK("https://www.bhaskar.com/local/rajasthan/barmer/news/water-flowing-wastefully-from-a-broken-pipeline-in-mahavir-nagar-137151276.html", "महावीर नगर में टूटी पाइप लाइन से व्यर्थ बह रहा पानी")</f>
        <v/>
      </c>
    </row>
    <row r="76">
      <c r="A76" s="2">
        <f>HYPERLINK("https://www.bhaskar.com/local/rajasthan/chittorgarh/news/kumbhanagar-mandal39s-hindu-conference-on-february-14-preparatory-meeting-held-137149567.html", "कुंभानगर मंडल का हिन्दू सम्मेलन 14 फरवरी को, तैयारी बैठक हुई")</f>
        <v/>
      </c>
    </row>
    <row r="77">
      <c r="A77" s="2">
        <f>HYPERLINK("https://www.bhaskar.com/local/rajasthan/chittorgarh/news/phag-festival-celebrated-at-hathikund-temple-in-madhuvan-137149566.html", "मधुवन के हाथीकुंड मंदिर में मनाया फाग महोत्सव")</f>
        <v/>
      </c>
    </row>
    <row r="78">
      <c r="A78" s="2">
        <f>HYPERLINK("https://www.bhaskar.com/local/rajasthan/chittorgarh/news/116-units-of-blood-collected-on-the-death-anniversary-of-martyr-radheshyam-137149565.html", "शहीद राधेश्याम की पुण्यतिथि पर 116 यूनिट रक्त एकत्रित")</f>
        <v/>
      </c>
    </row>
    <row r="79">
      <c r="A79" s="2">
        <f>HYPERLINK("https://www.bhaskar.com/local/rajasthan/chittorgarh/news/jaipal39s-8th-tiranga-yatra-on-25th-137149564.html", "जयपाल की 8वीं तिरंगा यात्रा 25 को")</f>
        <v/>
      </c>
    </row>
    <row r="80">
      <c r="A80" s="2">
        <f>HYPERLINK("https://www.bhaskar.com/local/rajasthan/chittorgarh/news/prana-pratishtha-in-maheshpuram-on-15th-137149563.html", "महेशपुरम में प्राण प्रतिष्ठा 15 को")</f>
        <v/>
      </c>
    </row>
    <row r="81">
      <c r="A81" s="2">
        <f>HYPERLINK("https://www.bhaskar.com/local/rajasthan/bhilwara/news/professional-and-technical-college-paldi-was-the-runner-up-in-the-38th-netball-competition-137150885.html", "38वीं नेटबॉल प्रतियोगिता में प्रोफेशनल एंड टेक्निकल कॉलेज पालड़ी उप विजेता रही")</f>
        <v/>
      </c>
    </row>
    <row r="82">
      <c r="A82" s="2">
        <f>HYPERLINK("https://www.bhaskar.com/local/rajasthan/bhilwara/news/releases-booklet-on-the-path-to-examination-137150886.html", "परीक्षा के पथ पर बुकलेट का विमोचन किया")</f>
        <v/>
      </c>
    </row>
    <row r="83">
      <c r="A83" s="2">
        <f>HYPERLINK("https://www.bhaskar.com/local/rajasthan/bhilwara/news/worshiped-the-parents-and-teachers-of-450-students-137150888.html", "450 विद्यार्थियों के माता-पिता और गुरुजनों का पूजन किया")</f>
        <v/>
      </c>
    </row>
    <row r="84">
      <c r="A84" s="2">
        <f>HYPERLINK("https://www.bhaskar.com/local/rajasthan/bhilwara/news/janjagran-rath-departs-for-child-marriage-free-india-137150934.html", "बाल विवाह मुक्त भारत के लिए जनजागरण रथ रवाना")</f>
        <v/>
      </c>
    </row>
    <row r="85">
      <c r="A85" s="2">
        <f>HYPERLINK("https://www.bhaskar.com/local/rajasthan/bhilwara/news/pran-pratishtha-of-the-idols-of-charbhujanath-shiv-family-and-hanumanji-in-the-temple-137150935.html", "मंदिर में चारभुजानाथ, शिव परिवार व हनुमानजी की मूर्तियों की प्राण-प्रतिष्ठा")</f>
        <v/>
      </c>
    </row>
    <row r="86">
      <c r="A86" s="2">
        <f>HYPERLINK("https://www.bhaskar.com/local/rajasthan/bhilwara/news/saint-gave-for-the-deaf-and-dumb-school-children-137150936.html", "मूकबधिर स्कूल के बच्चों के लिए संत ने दिया")</f>
        <v/>
      </c>
    </row>
    <row r="87">
      <c r="A87" s="2">
        <f>HYPERLINK("https://www.bhaskar.com/local/rajasthan/bhilwara/news/artworks-on-canvas-depicting-the-duality-of-nature-and-the-infinity-137150937.html", "कैनवास पर सजी अनंत की ओर और प्रकृति का द्वैत कलाकृतियां")</f>
        <v/>
      </c>
    </row>
    <row r="88">
      <c r="A88" s="2">
        <f>HYPERLINK("https://www.bhaskar.com/local/rajasthan/bhilwara/news/hanuman-statue-installed-in-the-park-137150938.html", "पार्क में हनुमान प्रतिमा की प्रतिष्ठा की")</f>
        <v/>
      </c>
    </row>
    <row r="89">
      <c r="A89" s="2">
        <f>HYPERLINK("https://www.bhaskar.com/local/rajasthan/bhilwara/news/umang-2026-cultural-performances-given-137150939.html", "उमंग 2026: सांस्कृतिक प्रस्तुतियां दीं")</f>
        <v/>
      </c>
    </row>
    <row r="90">
      <c r="A90" s="2">
        <f>HYPERLINK("https://www.bhaskar.com/local/rajasthan/bhilwara/news/invited-to-the-sanatan-diksha-festival-137150941.html", "सनातन-दीक्षा महोत्सव का न्यौता दिया")</f>
        <v/>
      </c>
    </row>
    <row r="91">
      <c r="A91" s="2">
        <f>HYPERLINK("https://www.bhaskar.com/local/rajasthan/tonk/news/a-contract-worker-threatened-to-kill-a-female-bdo-entered-her-chamber-and-behaved-indecently-137149768.html", "महिला बीडीओ को ठेकाकर्मी ने दी जान से मारने की धमकी, चैंबर में घुसकर अभद्रता")</f>
        <v/>
      </c>
    </row>
    <row r="92">
      <c r="A92" s="2">
        <f>HYPERLINK("https://www.bhaskar.com/local/rajasthan/pali/news/bangar-college-students-selected-in-the-top-five-of-the-accounting-ekathon-137151091.html", "बांगड़ कॉलेज के विद्यार्थी अकाउंटिग एकाथोन के प्रथम पांच में हुए चयनित")</f>
        <v/>
      </c>
    </row>
    <row r="93">
      <c r="A93" s="2">
        <f>HYPERLINK("https://www.bhaskar.com/local/rajasthan/pali/news/polluted-water-going-into-bandi-was-caught-5-times-from-cetp-plant-6-notice-issued-137151094.html", "सीईटीपी प्लांट-6 से 5 बार पकड़ा था बांडी में जाता प्रदूषित पानी, नोटिस")</f>
        <v/>
      </c>
    </row>
    <row r="94">
      <c r="A94" s="2">
        <f>HYPERLINK("https://www.bhaskar.com/local/rajasthan/pali/news/garbha-ki-pathshala-channel-will-make-mothers-aware-137151095.html", "गर्भ की पाठशाला चैनल करेगा मांओं को जागरूक")</f>
        <v/>
      </c>
    </row>
    <row r="95">
      <c r="A95" s="2">
        <f>HYPERLINK("https://www.bhaskar.com/local/rajasthan/pali/news/welcome-to-the-state-president-of-intuc-137151096.html", "इंटक के प्रदेशाध्यक्ष का स्वागत")</f>
        <v/>
      </c>
    </row>
    <row r="96">
      <c r="A96" s="2">
        <f>HYPERLINK("https://www.bhaskar.com/local/rajasthan/pali/news/intuc-president-came-to-the-pran-pratishtha-program-in-the-discom-premises-137151099.html", "डिस्कॉम परिसर में प्राण प्रतिष्ठा कार्यक्रम में आए इंटक अध्यक्ष")</f>
        <v/>
      </c>
    </row>
    <row r="97">
      <c r="A97" s="2">
        <f>HYPERLINK("https://www.bhaskar.com/local/rajasthan/pali/news/street-plays-helmet-rallies-now-literature-137151103.html", "नुक्कड़ नाटक, हेलमेट रैली, अब साहित्य")</f>
        <v/>
      </c>
    </row>
    <row r="98">
      <c r="A98" s="2">
        <f>HYPERLINK("https://www.bhaskar.com/local/rajasthan/pali/news/e-service-center-inaugurated-bar-executive-takes-oath-137151107.html", "ई-सेवा केन्द्र का शुभारंभ, बार कार्यकारिणी ने शपथ ग्रहण की")</f>
        <v/>
      </c>
    </row>
    <row r="99">
      <c r="A99" s="2">
        <f>HYPERLINK("https://www.bhaskar.com/local/rajasthan/pali/news/college-director-was-seen-saying-quothit-mequot-while-students-continued-making-videos-137151109.html", "मुझे मारो... कहते दिखे कॉलेज के डायरेक्टर, वीडियो बनाते रहे छात्र")</f>
        <v/>
      </c>
    </row>
    <row r="100">
      <c r="A100" s="2">
        <f>HYPERLINK("https://www.bhaskar.com/local/rajasthan/chittorgarh/news/chittorgarh-has-the-highest-number-of-cervical-cancer-patients-in-the-division-and-daughters-will-receive-free-vaccination-137149556.html", "संभाग में सर्वाधिक सर्वाइकल कैंसर पीड़ित चित्तौड़ में, बेटियों को निशुल्क लगेगा टीका")</f>
        <v/>
      </c>
    </row>
    <row r="101">
      <c r="A101" s="2">
        <f>HYPERLINK("https://www.bhaskar.com/local/rajasthan/tonk/news/papers-were-submitted-to-23-police-stations-and-12-outposts-137149766.html", "पेपर 23 थानों व 12 चौकियों में जमा")</f>
        <v/>
      </c>
    </row>
    <row r="102">
      <c r="A102" s="2">
        <f>HYPERLINK("https://www.bhaskar.com/local/rajasthan/tonk/news/8-years-imprisonment-in-a-case-of-murderous-assault-137149767.html", "जानलेवा हमले के केस में 8 साल की जेल")</f>
        <v/>
      </c>
    </row>
    <row r="103">
      <c r="A103" s="2">
        <f>HYPERLINK("https://www.bhaskar.com/local/rajasthan/tonk/news/151-women39s-kalash-yatra-was-taken-out-137149777.html", "151 महिलाओं की कलश यात्रा निकाली")</f>
        <v/>
      </c>
    </row>
    <row r="104">
      <c r="A104" s="2">
        <f>HYPERLINK("https://www.bhaskar.com/local/rajasthan/tonk/news/mariam-player-of-the-tournament-anusha-topper-137149775.html", "मरियम प्लेयर ऑफ द टूर्नामेंट, अनुषा अव्वल")</f>
        <v/>
      </c>
    </row>
    <row r="105">
      <c r="A105" s="2">
        <f>HYPERLINK("https://www.bhaskar.com/sports/cricket/new-zealand-vs-afghanistan/scorecard/nzaf02082026268057", "अफगानिस्तान0-0 (0.0)VSलाइवन्यूजीलैंड--टॉसः अफगानिस्तान, बल्लेबाजी का फैसलाकॉपी लिंक")</f>
        <v/>
      </c>
    </row>
    <row r="106">
      <c r="A106" s="2">
        <f>HYPERLINK("https://www.bhaskar.com/terms-and-conditions?ref=inbound_RHS", "Terms &amp; Conditions and Grievance Redressal Policy")</f>
        <v/>
      </c>
    </row>
    <row r="107">
      <c r="A107" s="2">
        <f>HYPERLINK("https://www.bhaskar.com/g/international/news/narendra-modi-malaysia-visit-live-update-anwar-ibrahim-zakir-naik-kuala-lumpur-137143460.html", "PM Modi Malaysia Visit")</f>
        <v/>
      </c>
    </row>
    <row r="108">
      <c r="A108" s="2">
        <f>HYPERLINK("https://www.bhaskar.com/db-original/news/bangladesh-election-2026-hindu-voters-bnp-vs-jamaat-e-islami-dhakeshwari-temple-137143307.html", "Bangladesh Hindu Voters")</f>
        <v/>
      </c>
    </row>
    <row r="109">
      <c r="A109" s="2">
        <f>HYPERLINK("https://www.bhaskar.com/g/sports/cricketworldcup/news/vaibhav-surwanshi-records-175-runs-youth-odi-world-cup-137141007.html", "Vaibhav Suryavanshi Records")</f>
        <v/>
      </c>
    </row>
    <row r="110">
      <c r="A110" s="2">
        <f>HYPERLINK("https://www.bhaskar.com/local/uttar-pradesh/lucknow/news/ghaziabad-triple-suicide-case-chetan-kumar-financial-condition-father-in-law-137143365.html", "Ghaziabad Sisters Suicide")</f>
        <v/>
      </c>
    </row>
    <row r="111">
      <c r="A111" s="2">
        <f>HYPERLINK("https://www.bhaskar.com/international/news/epstein-files-scandal-anil-ambani-swedish-girl-chat-exposed-us-india-137144387.html", "Anil Ambani Epstein Files")</f>
        <v/>
      </c>
    </row>
    <row r="112">
      <c r="A112" s="2">
        <f>HYPERLINK("https://www.bhaskar.com/g/sports/cricketworldcup/news/pakistan-vs-netherlands-t20-world-cup-2026-record-nawaz-afridi-137141040.html", "PAK Vs NED T20 World Cup LIVE")</f>
        <v/>
      </c>
    </row>
    <row r="113">
      <c r="A113" s="2">
        <f>HYPERLINK("https://www.bhaskar.com/bhaskar-khaas/bhaskar-explainer/news/vaibhav-suryavanshi-cricket-future-indian-u19-emerging-players-talent-pool-ayush-mhatre-137145068.html", "Vaibhav Suryavanshi Ayush Mhatre")</f>
        <v/>
      </c>
    </row>
    <row r="114">
      <c r="A114" s="2">
        <f>HYPERLINK("https://www.bhaskar.com/bhaskar-khaas/bhaskar-explainer/news/us-uk-global-aid-cut-impact-india-health-funding-malnutrition-deaths-137138660.html", "US UK India Health Funds")</f>
        <v/>
      </c>
    </row>
    <row r="115">
      <c r="A115" s="2">
        <f>HYPERLINK("https://www.bhaskar.com/g/entertainment/bollywood/news/sunil-shetty-reacts-t20-world-cup-2026-ind-pak-match-137143695.html", "Suniel Shetty IND Vs PAK")</f>
        <v/>
      </c>
    </row>
    <row r="116">
      <c r="A116" s="2">
        <f>HYPERLINK("https://www.bhaskar.com/g/business/news/gold-silver-prices-fall-heavy-see-your-city-rates-137144455.html", "Gold Silver Rate Today")</f>
        <v/>
      </c>
    </row>
    <row r="117">
      <c r="A117" s="2">
        <f>HYPERLINK("https://www.bhaskar.com/g/sports/cricketworldcup/news/vaibhav-suryavanshi-dance-video-india-u19-world-cup-2026-winning-celebration-photos-ayush-mhatre-137144594.html", "Vaibhav Sooryavanshi Dance Video")</f>
        <v/>
      </c>
    </row>
    <row r="118">
      <c r="A118" s="2">
        <f>HYPERLINK("https://www.bhaskar.com/g/sports/cricketworldcup/news/t20-world-cup-2026-ind-vs-usa-live-score-update-abhishek-sharma-suryakumar-yadav-bumrah-137141072.html", "IND Vs USA T20 WC LIVE Score")</f>
        <v/>
      </c>
    </row>
    <row r="119">
      <c r="A119" s="2">
        <f>HYPERLINK("https://www.bhaskar.com/g/sports/cricketworldcup/news/t20-world-cup-2026-wi-vs-sco-live-score-update-jason-holder-safyaan-sharif-137140002.html", "WI Vs SCO T20 WC LIVE")</f>
        <v/>
      </c>
    </row>
    <row r="120">
      <c r="A120" s="2">
        <f>HYPERLINK("https://www.bhaskar.com/g/sports/cricketworldcup/news/t20-world-cup-indian-origin-players-canada-usa-137140883.html", "T20 World Cup Indian Players")</f>
        <v/>
      </c>
    </row>
    <row r="121">
      <c r="A121" s="2">
        <f>HYPERLINK("https://www.bhaskar.com/local/uttar-pradesh/news/cbse-ctet-2026-exam-uttar-pradesh-kanpur-meerut-prayagraj-lucknow-agra-live-photo-video-update-video-137143807.html", "UP CBSE CTET Exam 2026")</f>
        <v/>
      </c>
    </row>
    <row r="122">
      <c r="A122" s="2">
        <f>HYPERLINK("https://www.bhaskar.com/local/uttar-pradesh/news/up-cabinet-expansion-yogi-adityanath-ministers-reshuffle-gujarat-model-explained-137143364.html", "Yogi Adityanath Ministers")</f>
        <v/>
      </c>
    </row>
    <row r="123">
      <c r="A123" s="2">
        <f>HYPERLINK("https://www.bhaskar.com/local/punjab/jalandhar/news/punjab-leader-lucky-obroy-murder-jalandhar-jogafoldhiwal-claims-responsibility-137140404.html", "Punjab AAP Leader Funeral")</f>
        <v/>
      </c>
    </row>
    <row r="124">
      <c r="A124" s="2">
        <f>HYPERLINK("https://www.bhaskar.com/career/news/current-affairs-7-february-rbi-stays-repo-rate-at-525-rss-begins-dhwaj-yaatra-from-kashmir-137138971.html", "Current Affairs Today")</f>
        <v/>
      </c>
    </row>
    <row r="125">
      <c r="A125" s="2">
        <f>HYPERLINK("https://www.bhaskar.com/local/mp/narmadapuram/itarsi/news/etarsi-car-canal-crash-people-missing-137141119.html", "Itarsi Canal Accident")</f>
        <v/>
      </c>
    </row>
    <row r="126">
      <c r="A126" s="2">
        <f>HYPERLINK("https://www.bhaskar.com/local/haryana/hisar/news/haryana-day-temp-crosses-25c-cold-mornings-evenings-clouds-10th-137151672.html", "हरियाणा में दिन का तापमान 25 डिग्री पार")</f>
        <v/>
      </c>
    </row>
    <row r="127">
      <c r="A127" s="2">
        <f>HYPERLINK("https://www.bhaskar.com/local/mp/bhopal/news/mp-cold-wave-katni-shahdol-umaria-lowest-temp-3-5c-137148641.html", "एमपी के 10 शहरों में पारा 10 डिग्री से नीचे")</f>
        <v/>
      </c>
    </row>
    <row r="128">
      <c r="A128" s="2">
        <f>HYPERLINK("https://www.bhaskar.com/local/mp/gwalior/news/gwalior-weather-change-cold-flu-cases-rise-137152265.html", "ग्वालियर में न्यूनतम तापमान 11.2 डिग्री")</f>
        <v/>
      </c>
    </row>
    <row r="129">
      <c r="A129" s="2">
        <f>HYPERLINK("https://www.bhaskar.com/local/bihar/patna/news/siwan-coldest-bihar-heat-waves-february-137151611.html", "गोपालगंज-बेतिया, बगहा में घना कोहरा, सीवान का पारा पहुंचा 9°C")</f>
        <v/>
      </c>
    </row>
    <row r="130">
      <c r="A130" s="2">
        <f>HYPERLINK("https://www.bhaskar.com/local/bihar/bhojpur/news/bhojpur-kali-mandir-pran-pratishtha-flood-brave-villagers-grand-temple-137152212.html", "गंगा किनारे मां काली मंदिर में प्राण-प्रतिष्ठा")</f>
        <v/>
      </c>
    </row>
    <row r="131">
      <c r="A131" s="2">
        <f>HYPERLINK("https://www.bhaskar.com/local/uttar-pradesh/gorakhpur/news/gorakhpur-cold-wave-temperature-9c-wind-speed-15kmph-137152075.html", "गोरखपुर में शीतलहर से दिखा ठंडी का असर")</f>
        <v/>
      </c>
    </row>
    <row r="132">
      <c r="A132" s="2">
        <f>HYPERLINK("https://www.bhaskar.com/local/uttar-pradesh/meerut/news/meerut-weather-clear-morning-temp-rise-likely-137151767.html", "मेरठ में धूप के सामने बेअसर तेज हवांए")</f>
        <v/>
      </c>
    </row>
    <row r="133">
      <c r="A133" s="2">
        <f>HYPERLINK("https://www.bhaskar.com/local/uttar-pradesh/agra/news/delhi-temperature-hottest-february-day-night-record-137149084.html", "आगरा में 10 साल में दूसरी बार सबसे गर्म दिन-रात")</f>
        <v/>
      </c>
    </row>
    <row r="134">
      <c r="A134" s="2">
        <f>HYPERLINK("https://www.bhaskar.com/local/uttarakhand/dehradun/news/uttarakhand-weather-update-today-forecast-rain-snowfall-alert-imd-137148485.html", "उत्तराखंड के हिमालयी क्षेत्रों में ठंड का असर बरकरार")</f>
        <v/>
      </c>
    </row>
    <row r="135">
      <c r="A135" s="2">
        <f>HYPERLINK("https://www.bhaskar.com/local/chhattisgarh/news/ambikapur-weather-temperature-cold-day-heat-137151728.html", "छत्तीसगढ़ में अंबिकापुर सबसे ज्यादा ठंडा, टेम्प्रेचर 6.3°C पहुंचा")</f>
        <v/>
      </c>
    </row>
    <row r="136">
      <c r="A136" s="2">
        <f>HYPERLINK("https://www.bhaskar.com/local/uttar-pradesh/kanpur/news/kanpur-weather-city-temperature-difference-48-hours-cold-morning-hot-day-video-137151724.html", "सुबह और रातें सर्द रहेगी, दिन में निकलेगी तेज धूप")</f>
        <v/>
      </c>
    </row>
    <row r="137">
      <c r="A137" s="2">
        <f>HYPERLINK("https://www.bhaskar.com/local/uttar-pradesh/varanasi/news/fog-alert-in-11-districts-of-up-hardoi-was-coldest-uttar-pradesh-weather-imd-weather-mausam-update-imd-video-137151709.html", "UP में आज से चढ़ेगा पारा")</f>
        <v/>
      </c>
    </row>
    <row r="138">
      <c r="A138" s="2">
        <f>HYPERLINK("https://www.bhaskar.com/local/jharkhand/ranchi/news/jharkhand-minimum-temperature-below-10-degrees-clouds-four-days-137151696.html", "वेस्टर्न डिस्टर्बेंस से हवा हुई ठंडी; कांपा झारखंड")</f>
        <v/>
      </c>
    </row>
    <row r="139">
      <c r="A139" s="2">
        <f>HYPERLINK("https://www.bhaskar.com/local/punjab/mohali/news/punjab-chandigarh-weather-forecast-strong-winds-possibility-chandigarh-meteorological-department-alert-update-137151676.html", "पंजाब में दो दिन में तेज हवाएं चलेंगी")</f>
        <v/>
      </c>
    </row>
    <row r="140">
      <c r="A140" s="2">
        <f>HYPERLINK("https://www.bhaskar.com/local/mp/bhopal/news/gwalior-chambal-cold-wave-mp-weather-alert-2026-137139071.html", "MP में उमरिया सबसे ठंडा, रात का पारा 7° रहा")</f>
        <v/>
      </c>
    </row>
    <row r="141">
      <c r="A141" s="2">
        <f>HYPERLINK("https://www.bhaskar.com/local/himachal/shimla/news/himachal-pradesh-weather-update-fog-alert-night-temperature-dip-rain-snow-shimla-manali-137138819.html", "हिमाचल में 2 दिन बाद बारिश-बर्फबारी")</f>
        <v/>
      </c>
    </row>
    <row r="142">
      <c r="A142" s="2">
        <f>HYPERLINK("https://www.bhaskar.com/local/uttarakhand/dehradun/news/uttarakhand-imd-weather-update-today-rain-snowfall-alert-kedarnath-gangotri-coldest-char-dham-137143372.html", "उत्तराखंड के 4 शहरों में छाया कोहरा, विजिबिलिटी कम")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2026-02-08T05:16:52Z</dcterms:created>
  <dcterms:modified xsi:type="dcterms:W3CDTF">2026-02-08T05:16:52Z</dcterms:modified>
</cp:coreProperties>
</file>